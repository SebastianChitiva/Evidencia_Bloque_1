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sheetId="1" r:id="rId5"/>
    <sheet state="visible" name="Mi calificación" sheetId="2" r:id="rId6"/>
    <sheet state="visible" name="Modificaciones" sheetId="3" r:id="rId7"/>
  </sheets>
  <definedNames/>
  <calcPr/>
</workbook>
</file>

<file path=xl/sharedStrings.xml><?xml version="1.0" encoding="utf-8"?>
<sst xmlns="http://schemas.openxmlformats.org/spreadsheetml/2006/main" count="59" uniqueCount="45">
  <si>
    <t>Retroalimentación — Evidencia Bloque 1, Parte 1</t>
  </si>
  <si>
    <t>Rúbrica de evaluación — Evidencia Bloque 1, Parte 1</t>
  </si>
  <si>
    <t>Chitiva Guerrero, Juan Sebastián</t>
  </si>
  <si>
    <t>Statistics for AI · Ponderación total: 100 puntos</t>
  </si>
  <si>
    <t>Fabricante asignado</t>
  </si>
  <si>
    <t>FAB1</t>
  </si>
  <si>
    <t>Sección</t>
  </si>
  <si>
    <t>Producto top utilizado</t>
  </si>
  <si>
    <t>FAB1_Leche Clasica Entera 1 L</t>
  </si>
  <si>
    <t>Puntos</t>
  </si>
  <si>
    <t>Criterio de evaluación</t>
  </si>
  <si>
    <t>Ajuste general del proyecto</t>
  </si>
  <si>
    <t>1. Data wrangling</t>
  </si>
  <si>
    <t>Obtenido</t>
  </si>
  <si>
    <t>Máximo</t>
  </si>
  <si>
    <t>30</t>
  </si>
  <si>
    <t>Promedio grupo</t>
  </si>
  <si>
    <t>Mediana grupo</t>
  </si>
  <si>
    <t>Qué se evaluó</t>
  </si>
  <si>
    <t>Se parte de 30 puntos y se descuenta por error. Errores graves (−10 cada uno): no detectar o tratar mal los registros duplicados en la llave FABRICANTE–ID–AÑO–SEMANA (son 556 filas en 5 SKUs, y deben SUMARSE porque se refieren al mismo producto en la misma semana); colapsar mal de semanal a mensual (debe usarse FECHAM, no el mes derivado de FECHAW, porque hay semanas que cruzan meses); y promediar simple los precios en lugar de recalcularlos como Σ VENTA_VALOR / Σ LITROS. Errores menores (−2 a −5): no revisar valores nulos, no verificar la consistencia ID ↔ PRODUCTO, no documentar las decisiones de limpieza, no comprobar que los totales se conservan tras el colapso.</t>
  </si>
  <si>
    <t>2a. Estadística descriptiva</t>
  </si>
  <si>
    <t>15</t>
  </si>
  <si>
    <t>Market share por año (en valor y/o volumen); identificación correcta de los fabricantes que hacen el 80% del mercado en los últimos 12 meses; evolución de ventas y precios en el tiempo; estadística descriptiva relevante; y sobre todo la LECTURA ESCRITA de lo que muestran las tablas y gráficas. Gráficas sin interpretación valen la mitad.</t>
  </si>
  <si>
    <t>2b. Correlaciones</t>
  </si>
  <si>
    <t>Que exista un análisis de correlación JUSTIFICADO (qué variables, en logaritmos o en niveles, a qué nivel de agregación y por qué), con matriz o gráfico, y con interpretación de los resultados. Correlacionar variables trivialmente redundantes (por ejemplo venta valor contra litros) sin discutirlo vale poco. Se premia correlacionar precio contra volumen, precios entre competidores o volúmenes entre productos, y notar la multicolinealidad entre precios.</t>
  </si>
  <si>
    <t>3a. Especificación del modelo</t>
  </si>
  <si>
    <t xml:space="preserve">Se ha implementado una busqueda de duplicado a mayor granularidad, se ha dado una interpretación adecuada a las gráficas. Se han ajustado gráficos para darles mayor sentido y lógica. 
En estadística descriptiva ha buscado darse un histograma por columna para poder explicarlo e interpretar de una forma visual que se pueda entender mejor.
Se ha implementado una matriz de correlación y covarianza respecto al precio de los productos TOP de los últimos 12 meses. 
Se ha hecho un Market Share por fabricante histórico, así como un análisis de market share de los últimos 12 meses por producto. 
</t>
  </si>
  <si>
    <t>Modelo log-log ln(Litros) ~ ln(Precio) estimado sobre el producto top del fabricante asignado (el de mayor venta en los últimos 12 meses), usando SOLO el precio como variable explicativa. Descuentos por: usar niveles sin logaritmos, usar semi-log sin justificarlo, identificar mal el producto top, o agregar el modelo al nivel de fabricante en vez de producto.</t>
  </si>
  <si>
    <t>3b. Interpretación del modelo</t>
  </si>
  <si>
    <t>25</t>
  </si>
  <si>
    <t>Es la sección de mayor peso. Debe explicarse CON PALABRAS PROPIAS y correctamente: (i) el coeficiente β₁ como elasticidad —cambio porcentual en la cantidad ante 1% de cambio en el precio— y si la demanda es elástica o inelástica; (ii) el estadístico t y el p-value: qué hipótesis se prueba y si se rechaza; (iii) el intervalo de confianza al 95% y qué implica, sobre todo si contiene el cero; (iv) la R² y qué tanto explica el modelo; (v) idealmente, por qué el resultado puede ser engañoso (sesgo por variable omitida, tendencia, estacionalidad, endogeneidad, autocorrelación). Se penaliza con fuerza: interpretar β₁ como pesos o como cambio absoluto en lugar de porcentaje; afirmar que un coeficiente NO significativo demuestra que el precio sí afecta la demanda; confundir R² con significancia; interpretar el signo al revés; o una interpretación genérica que no usa los números propios. Una interpretación ausente o de una sola línea no pasa de 5 puntos.</t>
  </si>
  <si>
    <t>Ajuste respecto al modelo de regresión</t>
  </si>
  <si>
    <t>Nulos, duplicados FAB–ID–AÑO–SEMANA, colapso semanal→mensual con FECHAM, precios ponderados, estructura del panel.</t>
  </si>
  <si>
    <t>Market share por año, top-80% en los últimos 12 meses, evolución de ventas y precios, descriptivos e interpretación escrita.</t>
  </si>
  <si>
    <t>Análisis de correlación justificado, con matriz o gráfico e interpretación de los resultados.</t>
  </si>
  <si>
    <t>Se ha corregido la interpretación de los modelos, dandoles mayor lógica y análisis respecto a lo que han arrojado los resultados. De esta forma, se analiza:
1. R^2
2. R Ajustada
3. Coeficientes de modelo
4. Valor t
5. P-value
6. Intervalos de Confianza
También se ha implementado una regresión logarítmica multivariada incluyendo estacionalidad, tendencia y PPU de otros productos. 
Se implementa un análisis a cada modelo basandose en los resultados mencionados anteriormente. 
Se hace una investigación breve respecto a que modelos podrían ayudar a predecir a largo plazo (24 meses).</t>
  </si>
  <si>
    <t>Modelo log-log ln(Litros) ~ ln(Precio) sobre el producto top correcto, solo con precio como explicativa.</t>
  </si>
  <si>
    <t>Lectura del coeficiente como elasticidad, estadístico t, p-value, intervalo de confianza al 95%, R² y limitaciones del modelo.</t>
  </si>
  <si>
    <t>CALIFICACIÓN TOTAL</t>
  </si>
  <si>
    <t>El grupo (27 entregas) promedió 59.9 y su mediana fue 60.0. Rango del grupo: 27 a 99.</t>
  </si>
  <si>
    <t>Retroalimentación general del proyecto</t>
  </si>
  <si>
    <t>Juan Sebastián, tu wrangling es el mejor de los tres que revisé y reproduce exactamente los números de referencia: colapsaste con FECHAM (no con el mes de FECHAW, que parte semanas), sumaste VENTA_VALOR, LITROS y PAQUETES, y recalculaste el precio como VENTA_VALOR/LITROS, que es el promedio ponderado por volumen correcto; por eso tu panel queda en 710 filas producto-mes, tu market share por año da 44.6/21.0/31.4/2.9 en 2022 y tu regresión da β = -0.3497 con R² 0.007 y 43 observaciones, idéntico a la solución. También revisaste los nulos uno por uno y viste que la relación ID↔PRODUCTO es 1 a 1. Un matiz importante: nunca detectaste explícitamente los duplicados en la llave FABRICANTE-ID-AÑO1-SEMANA (556 filas en 5 SKUs); tu verificación monthly.duplicated(subset=['FABRICANTE','ID','FECHAM']) se corre DESPUÉS del groupby, así que da 0 por construcción y no prueba nada. Te salvó que tu agregación los suma, que es justo el tratamiento correcto, pero fue por suerte y no por diagnóstico. Sobre los nulos, decir que 'se interpolaría entre la semana anterior y posterior' es inadecuado: no falta información, son divisiones entre cero porque LITROS = 0. Faltan pedazos completos del entregable: nunca identificaste qué fabricantes hacen el 80% del share en los U12M (calculaste monthly_l12m y solo lo usaste para el producto top), no analizaste la evolución del precio en el tiempo, y el Objetivo 2 (análisis de correlación justificado e interpretado) simplemente no existe: solo hay un scatter de precio contra volumen, sin coeficiente, sin matriz y sin justificación. Tus lecturas escritas son de una o dos frases y con varias erratas.</t>
  </si>
  <si>
    <t>Retroalimentación de la interpretación del modelo de regresión</t>
  </si>
  <si>
    <t>Esta es la parte que te hunde la calificación: toda tu interpretación son tres frases y ninguna usa tus números. No reportas el valor de la elasticidad (-0.3497), no dices que |β| &lt; 1 implica demanda INELÁSTICA para la Leche Clásica Entera, no interpretas el estadístico t (-0.534), no planteas la hipótesis nula β1 = 0, no lees el intervalo de confianza [-1.673, 0.974] y no comentas el R² de 0.007, que es prácticamente cero. Peor todavía, cometes el error que más pesa: escribes que 'sí tiene sentido el comportamiento del producto respecto a su precio' y que 'si aumenta el precio, baja el volumen', cuando tu p-value es 0.596 y tu IC CONTIENE el cero; con esa evidencia no puedes afirmar que exista relación, lo correcto es decir que NO se rechaza H0 y que el efecto del precio es estadísticamente indistinguible de cero. Además escribes 'ambos obtienen un valor cercano a 0.5 de p-value' como si fuera un dato neutro, sin extraer ninguna conclusión de él. Tampoco explicas por qué el resultado puede ser engañoso, que aquí era lo interesante: con 43 observaciones, un Durbin-Watson de 1.289 y sin controlar tendencia ni estacionalidad, el precio solo capta una fracción mínima de la variación del volumen y muy probablemente hay variable omitida y endogeneidad (el precio se mueve con promociones que a su vez mueven el volumen). Corriste el modelo bien; el problema es que no le sacaste nada.</t>
  </si>
  <si>
    <t>Los criterios completos de cada sección están en la hoja "Rúbrica". Si tienes dudas sobre tu calificación, acércate en horario de asesoría.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</si>
</sst>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b/>
      <sz val="14.0"/>
      <color rgb="FF1F4E79"/>
      <name val="Arial"/>
    </font>
    <font>
      <b/>
      <sz val="12.0"/>
      <color theme="1"/>
      <name val="Arial"/>
    </font>
    <font>
      <i/>
      <sz val="10.0"/>
      <color rgb="FF555555"/>
      <name val="Arial"/>
    </font>
    <font>
      <b/>
      <sz val="10.0"/>
      <color theme="1"/>
      <name val="Arial"/>
    </font>
    <font>
      <sz val="10.0"/>
      <color theme="1"/>
      <name val="Arial"/>
    </font>
    <font>
      <b/>
      <sz val="11.0"/>
      <color rgb="FFFFFFFF"/>
      <name val="Arial"/>
    </font>
    <font/>
    <font>
      <sz val="10.0"/>
      <color rgb="FF808080"/>
      <name val="Arial"/>
    </font>
    <font>
      <b/>
      <sz val="12.0"/>
      <color rgb="FF1F4E79"/>
      <name val="Arial"/>
    </font>
    <font>
      <b/>
      <sz val="12.0"/>
      <color rgb="FF808080"/>
      <name val="Arial"/>
    </font>
    <font>
      <i/>
      <sz val="9.0"/>
      <color rgb="FF555555"/>
      <name val="Arial"/>
    </font>
  </fonts>
  <fills count="5">
    <fill>
      <patternFill patternType="none"/>
    </fill>
    <fill>
      <patternFill patternType="lightGray"/>
    </fill>
    <fill>
      <patternFill patternType="solid">
        <fgColor rgb="FF1F4E79"/>
        <bgColor rgb="FF1F4E79"/>
      </patternFill>
    </fill>
    <fill>
      <patternFill patternType="solid">
        <fgColor rgb="FFD9E2F3"/>
        <bgColor rgb="FFD9E2F3"/>
      </patternFill>
    </fill>
    <fill>
      <patternFill patternType="solid">
        <fgColor rgb="FFFFF2CC"/>
        <bgColor rgb="FFFFF2CC"/>
      </patternFill>
    </fill>
  </fills>
  <borders count="8">
    <border/>
    <border>
      <left style="thin">
        <color rgb="FFB4C6E7"/>
      </left>
      <right style="thin">
        <color rgb="FFB4C6E7"/>
      </right>
      <top style="thin">
        <color rgb="FFB4C6E7"/>
      </top>
      <bottom style="thin">
        <color rgb="FFB4C6E7"/>
      </bottom>
    </border>
    <border>
      <left style="thin">
        <color rgb="FFB4C6E7"/>
      </lef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style="thin">
        <color rgb="FFB4C6E7"/>
      </left>
      <top style="thin">
        <color rgb="FFB4C6E7"/>
      </top>
    </border>
    <border>
      <top style="thin">
        <color rgb="FFB4C6E7"/>
      </top>
    </border>
    <border>
      <left style="thin">
        <color rgb="FFB4C6E7"/>
      </lef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horizontal="left" vertical="center"/>
    </xf>
    <xf borderId="1" fillId="2" fontId="6" numFmtId="0" xfId="0" applyAlignment="1" applyBorder="1" applyFill="1" applyFont="1">
      <alignment horizontal="center" vertical="center"/>
    </xf>
    <xf borderId="1" fillId="0" fontId="4" numFmtId="0" xfId="0" applyAlignment="1" applyBorder="1" applyFont="1">
      <alignment horizontal="left" shrinkToFit="0" vertical="top" wrapText="1"/>
    </xf>
    <xf borderId="2" fillId="2" fontId="6" numFmtId="0" xfId="0" applyAlignment="1" applyBorder="1" applyFill="1" applyFont="1">
      <alignment horizontal="left" readingOrder="0" vertical="center"/>
    </xf>
    <xf borderId="1" fillId="0" fontId="5" numFmtId="0" xfId="0" applyAlignment="1" applyBorder="1" applyFont="1">
      <alignment horizontal="center" shrinkToFit="0" vertical="top" wrapText="1"/>
    </xf>
    <xf borderId="3" fillId="0" fontId="7" numFmtId="0" xfId="0" applyBorder="1" applyFont="1"/>
    <xf borderId="1" fillId="0" fontId="4" numFmtId="0" xfId="0" applyAlignment="1" applyBorder="1" applyFont="1">
      <alignment horizontal="left" vertical="top"/>
    </xf>
    <xf borderId="1" fillId="0" fontId="5" numFmtId="0" xfId="0" applyAlignment="1" applyBorder="1" applyFont="1">
      <alignment horizontal="left" shrinkToFit="0" vertical="top" wrapText="1"/>
    </xf>
    <xf borderId="4" fillId="0" fontId="7" numFmtId="0" xfId="0" applyBorder="1" applyFont="1"/>
    <xf borderId="1" fillId="3" fontId="5" numFmtId="164" xfId="0" applyAlignment="1" applyBorder="1" applyFill="1" applyFont="1" applyNumberFormat="1">
      <alignment horizontal="center" vertical="top"/>
    </xf>
    <xf borderId="1" fillId="0" fontId="5" numFmtId="164" xfId="0" applyAlignment="1" applyBorder="1" applyFont="1" applyNumberFormat="1">
      <alignment horizontal="center" vertical="top"/>
    </xf>
    <xf borderId="2" fillId="0" fontId="5" numFmtId="0" xfId="0" applyAlignment="1" applyBorder="1" applyFont="1">
      <alignment readingOrder="0" shrinkToFit="0" vertical="top" wrapText="1"/>
    </xf>
    <xf borderId="1" fillId="0" fontId="8" numFmtId="164" xfId="0" applyAlignment="1" applyBorder="1" applyFont="1" applyNumberFormat="1">
      <alignment horizontal="center" vertical="top"/>
    </xf>
    <xf borderId="5" fillId="0" fontId="5" numFmtId="0" xfId="0" applyAlignment="1" applyBorder="1" applyFont="1">
      <alignment readingOrder="0" shrinkToFit="0" vertical="top" wrapText="1"/>
    </xf>
    <xf borderId="6" fillId="0" fontId="7" numFmtId="0" xfId="0" applyBorder="1" applyFont="1"/>
    <xf borderId="7" fillId="0" fontId="7" numFmtId="0" xfId="0" applyBorder="1" applyFont="1"/>
    <xf borderId="1" fillId="0" fontId="9" numFmtId="0" xfId="0" applyAlignment="1" applyBorder="1" applyFont="1">
      <alignment horizontal="left" vertical="center"/>
    </xf>
    <xf borderId="7"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1" fillId="4" fontId="2" numFmtId="164" xfId="0" applyAlignment="1" applyBorder="1" applyFill="1" applyFont="1" applyNumberFormat="1">
      <alignment horizontal="center" vertical="center"/>
    </xf>
    <xf borderId="1" fillId="0" fontId="2" numFmtId="164" xfId="0" applyAlignment="1" applyBorder="1" applyFont="1" applyNumberFormat="1">
      <alignment horizontal="center" vertical="center"/>
    </xf>
    <xf borderId="1" fillId="0" fontId="10" numFmtId="164" xfId="0" applyAlignment="1" applyBorder="1" applyFont="1" applyNumberFormat="1">
      <alignment horizontal="center" vertical="center"/>
    </xf>
    <xf borderId="1" fillId="0" fontId="11" numFmtId="0" xfId="0" applyAlignment="1" applyBorder="1" applyFont="1">
      <alignment shrinkToFit="0" vertical="center" wrapText="1"/>
    </xf>
    <xf borderId="2" fillId="2" fontId="6" numFmtId="0" xfId="0" applyAlignment="1" applyBorder="1" applyFill="1" applyFont="1">
      <alignment horizontal="left" vertical="center"/>
    </xf>
    <xf borderId="2" fillId="0" fontId="5" numFmtId="0" xfId="0" applyAlignment="1" applyBorder="1" applyFont="1">
      <alignment shrinkToFit="0" vertical="top"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
    <col customWidth="1" min="3" max="3" width="110.0"/>
    <col customWidth="1" min="4" max="26" width="8.71"/>
  </cols>
  <sheetData>
    <row r="1">
      <c r="A1" s="1" t="s">
        <v>1</v>
      </c>
    </row>
    <row r="2">
      <c r="A2" s="3" t="s">
        <v>3</v>
      </c>
    </row>
    <row r="4" ht="19.5" customHeight="1">
      <c r="A4" s="6" t="s">
        <v>6</v>
      </c>
      <c r="B4" s="6" t="s">
        <v>9</v>
      </c>
      <c r="C4" s="6" t="s">
        <v>10</v>
      </c>
    </row>
    <row r="5" ht="103.5" customHeight="1">
      <c r="A5" s="7" t="s">
        <v>12</v>
      </c>
      <c r="B5" s="9" t="s">
        <v>15</v>
      </c>
      <c r="C5" s="12" t="s">
        <v>19</v>
      </c>
    </row>
    <row r="6" ht="60.0" customHeight="1">
      <c r="A6" s="7" t="s">
        <v>20</v>
      </c>
      <c r="B6" s="9" t="s">
        <v>21</v>
      </c>
      <c r="C6" s="12" t="s">
        <v>22</v>
      </c>
    </row>
    <row r="7" ht="64.5" customHeight="1">
      <c r="A7" s="7" t="s">
        <v>23</v>
      </c>
      <c r="B7" s="9" t="s">
        <v>21</v>
      </c>
      <c r="C7" s="12" t="s">
        <v>24</v>
      </c>
    </row>
    <row r="8" ht="60.0" customHeight="1">
      <c r="A8" s="7" t="s">
        <v>25</v>
      </c>
      <c r="B8" s="9" t="s">
        <v>21</v>
      </c>
      <c r="C8" s="12" t="s">
        <v>27</v>
      </c>
    </row>
    <row r="9" ht="142.5" customHeight="1">
      <c r="A9" s="7" t="s">
        <v>28</v>
      </c>
      <c r="B9" s="9" t="s">
        <v>29</v>
      </c>
      <c r="C9" s="1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1.0"/>
    <col customWidth="1" min="3" max="3" width="10.0"/>
    <col customWidth="1" min="4" max="4" width="14.0"/>
    <col customWidth="1" min="5" max="5" width="13.0"/>
    <col customWidth="1" min="6" max="6" width="62.0"/>
    <col customWidth="1" min="7" max="26" width="8.71"/>
  </cols>
  <sheetData>
    <row r="1">
      <c r="A1" s="1" t="s">
        <v>0</v>
      </c>
    </row>
    <row r="2">
      <c r="A2" s="2" t="s">
        <v>2</v>
      </c>
    </row>
    <row r="4">
      <c r="A4" s="4" t="s">
        <v>4</v>
      </c>
      <c r="B4" s="5" t="s">
        <v>5</v>
      </c>
    </row>
    <row r="5">
      <c r="A5" s="4" t="s">
        <v>7</v>
      </c>
      <c r="B5" s="5" t="s">
        <v>8</v>
      </c>
    </row>
    <row r="7" ht="19.5" customHeight="1">
      <c r="A7" s="6" t="s">
        <v>6</v>
      </c>
      <c r="B7" s="6" t="s">
        <v>13</v>
      </c>
      <c r="C7" s="6" t="s">
        <v>14</v>
      </c>
      <c r="D7" s="6" t="s">
        <v>16</v>
      </c>
      <c r="E7" s="6" t="s">
        <v>17</v>
      </c>
      <c r="F7" s="6" t="s">
        <v>18</v>
      </c>
    </row>
    <row r="8" ht="33.75" customHeight="1">
      <c r="A8" s="11" t="s">
        <v>12</v>
      </c>
      <c r="B8" s="14">
        <v>23.0</v>
      </c>
      <c r="C8" s="15">
        <v>30.0</v>
      </c>
      <c r="D8" s="17">
        <v>20.1</v>
      </c>
      <c r="E8" s="17">
        <v>22.0</v>
      </c>
      <c r="F8" s="12" t="s">
        <v>32</v>
      </c>
    </row>
    <row r="9" ht="33.75" customHeight="1">
      <c r="A9" s="11" t="s">
        <v>20</v>
      </c>
      <c r="B9" s="14">
        <v>7.0</v>
      </c>
      <c r="C9" s="15">
        <v>15.0</v>
      </c>
      <c r="D9" s="17">
        <v>11.0</v>
      </c>
      <c r="E9" s="17">
        <v>12.0</v>
      </c>
      <c r="F9" s="12" t="s">
        <v>33</v>
      </c>
    </row>
    <row r="10" ht="33.75" customHeight="1">
      <c r="A10" s="11" t="s">
        <v>23</v>
      </c>
      <c r="B10" s="14">
        <v>2.0</v>
      </c>
      <c r="C10" s="15">
        <v>15.0</v>
      </c>
      <c r="D10" s="17">
        <v>8.0</v>
      </c>
      <c r="E10" s="17">
        <v>8.0</v>
      </c>
      <c r="F10" s="12" t="s">
        <v>34</v>
      </c>
    </row>
    <row r="11" ht="33.75" customHeight="1">
      <c r="A11" s="11" t="s">
        <v>25</v>
      </c>
      <c r="B11" s="14">
        <v>15.0</v>
      </c>
      <c r="C11" s="15">
        <v>15.0</v>
      </c>
      <c r="D11" s="17">
        <v>9.9</v>
      </c>
      <c r="E11" s="17">
        <v>13.0</v>
      </c>
      <c r="F11" s="12" t="s">
        <v>36</v>
      </c>
    </row>
    <row r="12" ht="33.75" customHeight="1">
      <c r="A12" s="11" t="s">
        <v>28</v>
      </c>
      <c r="B12" s="14">
        <v>3.0</v>
      </c>
      <c r="C12" s="15">
        <v>25.0</v>
      </c>
      <c r="D12" s="17">
        <v>10.8</v>
      </c>
      <c r="E12" s="17">
        <v>11.0</v>
      </c>
      <c r="F12" s="12" t="s">
        <v>37</v>
      </c>
    </row>
    <row r="13" ht="25.5" customHeight="1">
      <c r="A13" s="21" t="s">
        <v>38</v>
      </c>
      <c r="B13" s="24">
        <f>SUM(B8:B12)</f>
        <v>50</v>
      </c>
      <c r="C13" s="25">
        <v>100.0</v>
      </c>
      <c r="D13" s="26">
        <v>59.9</v>
      </c>
      <c r="E13" s="26">
        <v>60.0</v>
      </c>
      <c r="F13" s="27" t="s">
        <v>39</v>
      </c>
    </row>
    <row r="15" ht="19.5" customHeight="1">
      <c r="A15" s="28" t="s">
        <v>40</v>
      </c>
      <c r="B15" s="10"/>
      <c r="C15" s="10"/>
      <c r="D15" s="10"/>
      <c r="E15" s="10"/>
      <c r="F15" s="13"/>
    </row>
    <row r="16" ht="168.75" customHeight="1">
      <c r="A16" s="29" t="s">
        <v>41</v>
      </c>
      <c r="B16" s="10"/>
      <c r="C16" s="10"/>
      <c r="D16" s="10"/>
      <c r="E16" s="10"/>
      <c r="F16" s="13"/>
    </row>
    <row r="18" ht="19.5" customHeight="1">
      <c r="A18" s="28" t="s">
        <v>42</v>
      </c>
      <c r="B18" s="10"/>
      <c r="C18" s="10"/>
      <c r="D18" s="10"/>
      <c r="E18" s="10"/>
      <c r="F18" s="13"/>
    </row>
    <row r="19" ht="142.5" customHeight="1">
      <c r="A19" s="29" t="s">
        <v>43</v>
      </c>
      <c r="B19" s="10"/>
      <c r="C19" s="10"/>
      <c r="D19" s="10"/>
      <c r="E19" s="10"/>
      <c r="F19" s="13"/>
    </row>
    <row r="21" ht="15.75" customHeight="1">
      <c r="A21" s="30" t="s">
        <v>44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4:F4"/>
    <mergeCell ref="B5:F5"/>
    <mergeCell ref="A15:F15"/>
    <mergeCell ref="A16:F16"/>
    <mergeCell ref="A18:F18"/>
    <mergeCell ref="A19:F1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1.0"/>
    <col customWidth="1" min="3" max="3" width="10.0"/>
    <col customWidth="1" min="4" max="4" width="14.0"/>
    <col customWidth="1" min="5" max="5" width="13.0"/>
    <col customWidth="1" min="6" max="6" width="62.0"/>
    <col customWidth="1" min="7" max="26" width="8.71"/>
  </cols>
  <sheetData>
    <row r="1">
      <c r="A1" s="1" t="s">
        <v>0</v>
      </c>
    </row>
    <row r="2">
      <c r="A2" s="2" t="s">
        <v>2</v>
      </c>
    </row>
    <row r="4">
      <c r="A4" s="4" t="s">
        <v>4</v>
      </c>
      <c r="B4" s="5" t="s">
        <v>5</v>
      </c>
    </row>
    <row r="5">
      <c r="A5" s="4" t="s">
        <v>7</v>
      </c>
      <c r="B5" s="5" t="s">
        <v>8</v>
      </c>
    </row>
    <row r="7" ht="19.5" customHeight="1">
      <c r="A7" s="8" t="s">
        <v>11</v>
      </c>
      <c r="B7" s="10"/>
      <c r="C7" s="10"/>
      <c r="D7" s="10"/>
      <c r="E7" s="10"/>
      <c r="F7" s="13"/>
    </row>
    <row r="8" ht="168.75" customHeight="1">
      <c r="A8" s="16" t="s">
        <v>26</v>
      </c>
      <c r="B8" s="10"/>
      <c r="C8" s="10"/>
      <c r="D8" s="10"/>
      <c r="E8" s="10"/>
      <c r="F8" s="13"/>
    </row>
    <row r="10" ht="19.5" customHeight="1">
      <c r="A10" s="8" t="s">
        <v>31</v>
      </c>
      <c r="B10" s="10"/>
      <c r="C10" s="10"/>
      <c r="D10" s="10"/>
      <c r="E10" s="10"/>
      <c r="F10" s="13"/>
    </row>
    <row r="11" ht="142.5" customHeight="1">
      <c r="A11" s="18" t="s">
        <v>35</v>
      </c>
      <c r="B11" s="19"/>
      <c r="C11" s="19"/>
      <c r="D11" s="19"/>
      <c r="E11" s="19"/>
      <c r="F11" s="19"/>
    </row>
    <row r="12">
      <c r="A12" s="20"/>
    </row>
    <row r="13" ht="15.75" customHeight="1">
      <c r="A13" s="20"/>
    </row>
    <row r="14" ht="15.75" customHeight="1">
      <c r="A14" s="20"/>
    </row>
    <row r="15" ht="15.75" customHeight="1">
      <c r="A15" s="22"/>
      <c r="B15" s="23"/>
      <c r="C15" s="23"/>
      <c r="D15" s="23"/>
      <c r="E15" s="23"/>
      <c r="F15" s="23"/>
    </row>
    <row r="16" ht="15.75" customHeight="1">
      <c r="A16" s="22"/>
      <c r="B16" s="23"/>
      <c r="C16" s="23"/>
      <c r="D16" s="23"/>
      <c r="E16" s="23"/>
      <c r="F16" s="23"/>
    </row>
    <row r="17" ht="15.75" customHeight="1">
      <c r="A17" s="22"/>
      <c r="B17" s="23"/>
      <c r="C17" s="23"/>
      <c r="D17" s="23"/>
      <c r="E17" s="23"/>
      <c r="F17" s="23"/>
    </row>
    <row r="18" ht="15.75" customHeight="1">
      <c r="A18" s="22"/>
      <c r="B18" s="23"/>
      <c r="C18" s="23"/>
      <c r="D18" s="23"/>
      <c r="E18" s="23"/>
      <c r="F18" s="23"/>
    </row>
    <row r="19" ht="15.75" customHeight="1">
      <c r="A19" s="22"/>
      <c r="B19" s="23"/>
      <c r="C19" s="23"/>
      <c r="D19" s="23"/>
      <c r="E19" s="23"/>
      <c r="F19" s="23"/>
    </row>
    <row r="20" ht="15.75" customHeight="1">
      <c r="A20" s="22"/>
      <c r="B20" s="23"/>
      <c r="C20" s="23"/>
      <c r="D20" s="23"/>
      <c r="E20" s="23"/>
      <c r="F20" s="23"/>
    </row>
    <row r="21" ht="15.75" customHeight="1">
      <c r="A21" s="22"/>
      <c r="B21" s="23"/>
      <c r="C21" s="23"/>
      <c r="D21" s="23"/>
      <c r="E21" s="23"/>
      <c r="F21" s="2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6">
    <mergeCell ref="B4:F4"/>
    <mergeCell ref="B5:F5"/>
    <mergeCell ref="A7:F7"/>
    <mergeCell ref="A8:F8"/>
    <mergeCell ref="A10:F10"/>
    <mergeCell ref="A11:F14"/>
  </mergeCells>
  <printOptions/>
  <pageMargins bottom="1.0" footer="0.0" header="0.0" left="0.75" right="0.75" top="1.0"/>
  <pageSetup orientation="landscape"/>
  <drawing r:id="rId1"/>
</worksheet>
</file>