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tecmx-my.sharepoint.com/personal/cdorante_tec_mx/Documents/ATec/202613/TI3006C/Project1/Calificación_Proyectos_Finales/"/>
    </mc:Choice>
  </mc:AlternateContent>
  <xr:revisionPtr revIDLastSave="3" documentId="11_3E73EC8C895B2C39119EAF4F279BF558F6CED91A" xr6:coauthVersionLast="47" xr6:coauthVersionMax="47" xr10:uidLastSave="{1464C5FA-DD12-4715-9BEC-80E27F5CEBFD}"/>
  <bookViews>
    <workbookView xWindow="-120" yWindow="-120" windowWidth="29040" windowHeight="15720" xr2:uid="{00000000-000D-0000-FFFF-FFFF00000000}"/>
  </bookViews>
  <sheets>
    <sheet name="Mi calificación final" sheetId="1" r:id="rId1"/>
    <sheet name="Rúbrica" sheetId="2" r:id="rId2"/>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1" i="1" l="1"/>
</calcChain>
</file>

<file path=xl/sharedStrings.xml><?xml version="1.0" encoding="utf-8"?>
<sst xmlns="http://schemas.openxmlformats.org/spreadsheetml/2006/main" count="140" uniqueCount="110">
  <si>
    <t>Calificación final del proyecto — Evidencia Bloque 1</t>
  </si>
  <si>
    <t>Chitiva Guerrero, Juan Sebastián</t>
  </si>
  <si>
    <t>Fabricante asignado</t>
  </si>
  <si>
    <t>FAB1</t>
  </si>
  <si>
    <t>Producto top utilizado</t>
  </si>
  <si>
    <t>Leche Clasica Entera 1 L (correcto)</t>
  </si>
  <si>
    <t>Archivo de la entrega final</t>
  </si>
  <si>
    <t>Evidencia_Periodo_Introduccion.ipynb</t>
  </si>
  <si>
    <t>¿Subió trabajo nuevo en esta entrega?</t>
  </si>
  <si>
    <t>Sí</t>
  </si>
  <si>
    <t>Excel con los cambios atendidos</t>
  </si>
  <si>
    <t>Dónde lo documentó</t>
  </si>
  <si>
    <t>Ajustes Retro 2</t>
  </si>
  <si>
    <t>En esta entrega se recalificó ÚNICAMENTE la Parte 2. La Parte 1 y su retroalimentación se conservan de la revisión anterior.</t>
  </si>
  <si>
    <t>PARTE 1 — 60% de la calificación final · NO se recalificó en esta entrega</t>
  </si>
  <si>
    <t>Sección</t>
  </si>
  <si>
    <t>Obtenido</t>
  </si>
  <si>
    <t>Máximo</t>
  </si>
  <si>
    <t>Prelim.</t>
  </si>
  <si>
    <t>Prom. grupo</t>
  </si>
  <si>
    <t>Qué se evaluó</t>
  </si>
  <si>
    <t>1. Data wrangling</t>
  </si>
  <si>
    <t>Nulos, duplicados FAB–ID–AÑO–SEMANA, colapso semanal→mensual con FECHAM, precios ponderados, panel.</t>
  </si>
  <si>
    <t>2a. Estadística descriptiva</t>
  </si>
  <si>
    <t>Market share por año, top-80% en U12M, evolución de ventas y precios, descriptivos e interpretación.</t>
  </si>
  <si>
    <t>2b. Correlaciones</t>
  </si>
  <si>
    <t>Análisis de correlación justificado, con matriz o gráfico e interpretación de los resultados.</t>
  </si>
  <si>
    <t>3a. Especificación del modelo</t>
  </si>
  <si>
    <t>Modelo log-log ln(Litros) ~ ln(Precio) sobre el producto top correcto, solo con precio.</t>
  </si>
  <si>
    <t>3b. Interpretación del modelo</t>
  </si>
  <si>
    <t>Elasticidad, estadístico t, p-value, intervalo de confianza al 95%, R² y limitaciones.</t>
  </si>
  <si>
    <t>CALIFICACIÓN PARTE 1</t>
  </si>
  <si>
    <t>Promedio del grupo: 82.4 · Mediana: 86.5</t>
  </si>
  <si>
    <t>PARTE 2 — 40% de la calificación final · RECALIFICADA en esta entrega</t>
  </si>
  <si>
    <t>Anterior</t>
  </si>
  <si>
    <t>Objetivo 1.4 — Diseño del modelo extendido</t>
  </si>
  <si>
    <t>Explicar (sin correr) cómo incorporar elasticidad cruzada, estacionalidad y tendencia.</t>
  </si>
  <si>
    <t>Objetivo 1.5 — Especificación del modelo</t>
  </si>
  <si>
    <t>ln(Litros) ~ ln(Precio) + tendencia + estacionalidad sobre la misma muestra.</t>
  </si>
  <si>
    <t>Objetivo 1.5 — Interpretación del modelo</t>
  </si>
  <si>
    <t>Elasticidad, tendencia, estacionalidad, IC, R² vs R² ajustado y las tres preguntas.</t>
  </si>
  <si>
    <t>Objetivo 1.6 — Investigación de pronóstico</t>
  </si>
  <si>
    <t>Criterio binario: 20 si incluyó la investigación de modelos de pronóstico a 24 meses, 0 si no.</t>
  </si>
  <si>
    <t>Subtotal Parte 2</t>
  </si>
  <si>
    <t>CALIFICACIÓN PARTE 2</t>
  </si>
  <si>
    <t>Promedio del grupo en la Parte 2: 88.5 · Mediana: 92.5</t>
  </si>
  <si>
    <t>CALIFICACIÓN FINAL</t>
  </si>
  <si>
    <t>Antes de esta entrega tu calificación final era 80.6. Promedio del grupo: 84.9 · Mediana: 89.8.</t>
  </si>
  <si>
    <t>RESUMEN — entrega final</t>
  </si>
  <si>
    <t>Mejora sólida: la Parte 2 sube de 80 a 95. Formalizó el diseño del Objetivo 1.4 con las tres ecuaciones progresivas y cada coeficiente definido; incorporó el control de semanas por mes —que resulta significativo y sube el ajuste— y errores HAC en los tres modelos, justificando la elección del rezago por la frecuencia de los datos; y completó la interpretación con las cuatro respuestas que faltaban, incluyendo cuál estimación es la mejor y por qué el modelo con competencia no lo es. Queda pendiente anticipar la multicolinealidad en la sección de DISEÑO en vez de diagnosticarla sólo en los resultados, y desarrollar el Objetivo 1.6 con la lógica de dos etapas y un protocolo de evaluación.</t>
  </si>
  <si>
    <t>Nota sobre esta entrega</t>
  </si>
  <si>
    <t>Atendió las observaciones de la ronda anterior: formalizó el diseño del Objetivo 1.4 con las tres ecuaciones, incorporó el control de semanas por mes y los errores HAC, y completó las respuestas explícitas a las preguntas de comparación incluyendo cuál estimación es la mejor.</t>
  </si>
  <si>
    <t>PARTE 2 · Objetivo 1.4 — Diseño del modelo extendido (16/20, antes 10)</t>
  </si>
  <si>
    <t>Sube de 10 a 16: atendiste lo principal. Antes esta sección eran dos párrafos generales; ahora es un diseño formal en tres modelos progresivos, cada uno con su ECUACIÓN escrita y con cada término definido. El modelo 1 introduce la tendencia T_t explicando su propósito —evitar que la elasticidad quede sesgada por la variable omitida que detectaste en el modelo simple—. El modelo 2 agrega las dummies mensuales D_mt, con la definición correcta de que valen 1 en su mes y 0 en el resto, la aclaración de por qué un mes queda como referencia (evitar multicolinealidad perfecta) y la lectura precisa de delta_m como la diferencia en el nivel esperado de venta de ese mes respecto al mes base. El modelo 3 incorpora el bloque cruzado, definiendo P_jt como el precio del competidor j en el periodo t y gamma_j como la elasticidad cruzada. Eso era exactamente lo que faltaba. Lo que impide el máximo es el mismo punto que te señalé la vez pasada y que sigue sin corregirse del todo: la MULTICOLINEALIDAD sigue apareciendo sólo en la sección de resultados, cuando ya viste que los coeficientes se caen. En el diseño no la anticipas, y ése era el argumento central: al plantear el modelo 3 había que escribir que los precios de productos de la misma categoría se mueven juntos (tu propia matriz de correlación lo muestra), que por eso el modelo no podrá separar sus efectos, y qué harías al respecto —uno o dos competidores en lugar de todos, o reparametrizar en precio relativo—. Faltan también el criterio de selección de competidores como decisión de diseño (usas 'los productos top', que es razonable pero no lo justificas) y el costo en grados de libertad de cada bloque con 43 observaciones.</t>
  </si>
  <si>
    <t>PARTE 2 · Objetivo 1.5 — MODELO (30/30, antes 27)</t>
  </si>
  <si>
    <t>Sube de 27 a 30: cerraste los dos huecos exactos que te señalé. (1) Control de longitud del mes: construyes N_SEMANAS contando semanas distintas por FECHAM, la metes en logaritmo para que su coeficiente sea una elasticidad, y resulta significativa (0.7102, t = 3.28, p = 0.003), con el R² subiendo de 0.471 a 0.521 y el ajustado de 0.235 a 0.281. O sea que el efecto de calendario era real. (2) Errores estándar HAC: los aplicas a los tres modelos y —esto es lo que más valoro— JUSTIFICAS la elección de maxlags=1 con un argumento sustantivo, no automático: un rezago captura la relación entre el error de un mes y el anterior, con 43 observaciones más rezagos serían excesivos, y añades que si los datos fueran semanales se podrían considerar más. Ese razonamiento sobre la frecuencia de los datos es exactamente el criterio correcto. Y conservas lo que ya era tu mayor fortaleza: la secuencia de modelos ANIDADOS (estacionalidad sola, + tendencia, + semanas, + competencia), que permite ver qué aporta cada bloque. El resultado sigue siendo revelador: con estacionalidad sola la elasticidad se queda en -0.12 y el R² ajustado es NEGATIVO (-0.039); al agregar la tendencia salta a -3.97 y se vuelve significativa. Tu propio experimento demuestra que el problema de este producto era la tendencia y no la estacionalidad.</t>
  </si>
  <si>
    <t>PARTE 2 · Objetivo 1.5 — INTERPRETACIÓN (29/30, antes 23)</t>
  </si>
  <si>
    <t>Sube de 23 a 29 porque respondiste las cuatro cosas que faltaban. (1) Dices con todas sus letras que la elasticidad cambió de -0.35 a -3.9698, «aproximadamente once veces mayor en magnitud». (2) Señalas que pasó a ser estadísticamente significativa con p &lt; 0.05 y respaldas con el intervalo [-6.555, -1.384] que se mantiene en rango negativo. (3) Nombras el mecanismo: el modelo estaba omitiendo una variable importante de variación temporal, y al controlarla la variación que antes se atribuía al precio queda separada, dejando ver la relación precio-volumen más clara. Ése es el sesgo por variable omitida explicado con tus palabras. (4) Y ahora SÍ respondes cuál es el mejor modelo, en una sección dedicada: la tendencia es lo que mejora sustancialmente la capacidad explicativa, el número de semanas aporta información adicional relevante (R² 0.521, ajustado 0.281), y por eso ése es el mejor; mientras que el modelo con competencia, que uno esperaría superior, no lo es por la multicolinealidad alta que además confirmas contra tu matriz de correlación. Se conservan tus dos aciertos anteriores: interpretas la tendencia como ~2.61% mensual usando su significancia para explicar por qué los modelos previos no aislaban el precio, y mantienes el matiz correcto de que dummies no significativas no prueban ausencia de estacionalidad sino falta de evidencia para identificarla con estos datos. Y agregas una observación nueva y fina: en el modelo con competencia, HAC CAMBIA la inferencia de la tendencia (de p = 0.203 a p = 0.023), o sea que la corrección no es cosmética. Para el 30 faltaba poco: reportar el intervalo de confianza de la elasticidad del modelo final con semanas, y comentar que un R² ajustado de 0.281 con 15 parámetros sobre 43 observaciones sigue siendo bajo, lo que apuntaría a una estacionalidad más parsimoniosa.</t>
  </si>
  <si>
    <t>PARTE 2 · Objetivo 1.6 — Investigación de pronóstico (20/20, antes 20)</t>
  </si>
  <si>
    <t>La sección se amplió y conserva los 20 puntos del criterio binario. Cubres ARIMA/SARIMA con la distinción correcta entre la versión base y la estacional; VAR con la mejor intuición de tu entrega —que sirve cuando varias series se afectan mutuamente, que es justo el caso de la elasticidad cruzada y de la canibalización interna entre presentaciones del mismo fabricante—; y redes neuronales para patrones no lineales, en ambos casos con la advertencia correcta de que 43 observaciones mensuales generan demasiados parámetros respecto al tamaño de muestra y llevan a sobreajuste. El ejemplo de los chocolates en febrero y mayo ilustra bien por qué la estacionalidad depende de la categoría. Lo que sigue faltando, y te lo repito porque es lo que convertiría esta sección en una recomendación y no en un catálogo: (1) la lógica de dos etapas —primero pronosticar el PRECIO y después el volumen condicionado a ese precio, porque el precio es tu variable explicativa—; (2) al menos una familia de machine learning aplicable con esta muestra, como gradient boosting con variables rezagadas, o mejor aún entrenado sobre el panel de los 26 SKU para multiplicar las observaciones efectivas; y (3) el protocolo de evaluación: backtesting con origen móvil comparando MAE/RMSE/MAPE contra un benchmark ingenuo estacional. Sin criterio de comparación no hay forma de elegir entre los candidatos que propones.</t>
  </si>
  <si>
    <t>PARTE 1 · Retroalimentación general (de la revisión anterior, sin cambios)</t>
  </si>
  <si>
    <t>Juan Sebastián, subiste 31 puntos y la mayoría vienen de donde debían: de la interpretación, que era lo que te hundía. El wrangling ya estaba bien y ahora está mejor documentado: identificas los 3 nulos y explicas correctamente que salen de dividir entre LITROS = 0, y tomas la decisión —razonada— de conservarlos porque el agrupado mensual los absorbe; detectas los registros repetidos de la llave FECHAW–FABRICANTE–ID, muestras el ejemplo concreto, argumentas que NO son duplicados exactos sino registros parciales del mismo producto, y los dejas para que el groupby mensual los sume, que es el tratamiento correcto; recalculas el precio como ΣVALOR/ΣLITROS explicando por qué promediar los precios semanales no sirve; y cierras verificando que no quedan llaves mensuales duplicadas ni nulos. Los valores negativos también los notas en el describe y los interpretas como devoluciones. Lo que falta para el 30: verificar que los totales de venta y litros se conserven antes y después del colapso, y revisar la relación ID↔PRODUCTO en los dos sentidos (sólo la revisas en uno). En descriptiva mejoras con los histogramas comentados y el market share anual con etiquetas, pero el análisis de los últimos 12 meses lo hiciste a nivel PRODUCTO cuando el objetivo pedía identificar los FABRICANTES que hacen el 80% (llegas al dato —88.4% entre FAB1, FAB3 y FAB5— pero de pasada, no como resultado); y falta la evolución de ventas y precios en el tiempo por fabricante, que es el otro inciso del objetivo. En correlaciones subiste de 2 a 8: la matriz de precios entre los productos top es la pregunta correcta y la justificas bien, pero tiene tres problemas. Primero, la calculas sólo sobre los últimos 12 meses, o sea 12 observaciones por par: con esa n los coeficientes son inestables y no se puede concluir gran cosa. Segundo, la interpretación no cita ni un número («relación ligeramente alta» no le dice nada al lector). Tercero, los títulos de las dos gráficas están intercambiados: la que llamas «matriz de covarianza» es la de correlación y viceversa. Y falta el análisis que más aportaría: la correlación entre precio y volumen del propio producto, y entre volúmenes de competidores (ahí aparece FAB2 vs FAB5 en −0.70, que explica el reacomodo del mercado que tú mismo describes).</t>
  </si>
  <si>
    <t>PARTE 1 · Retroalimentación de la interpretación (de la revisión anterior, sin cambios)</t>
  </si>
  <si>
    <t>Aquí está tu mayor mejora: pasaste de tres frases sin números a una interpretación real. Corres el modelo en dos versiones —niveles y logaritmos— y explicas por qué: en niveles el coeficiente te dice litros por peso, en logaritmos te da directamente la elasticidad. Esa comparación no la pedía el enunciado y suma. Lees β₁ = −0.3497 como «1% más de precio, 0.34% menos volumen», etiquetas correctamente la demanda como inelástica porque |β₁| &lt; 1, reportas la R² = 0.007 y concluyes que el precio casi no explica el volumen, usas el p-value de 0.596 para no rechazar H₀ enunciando explícitamente cuál es esa hipótesis, y —esto es lo mejor— lees el intervalo [−1.673, 0.974] correctamente: como contiene el cero, no puedes ni siquiera afirmar que el efecto sea negativo. Cierras con un párrafo propio sobre variable omitida que conecta directamente con lo que haces después. Para los 25 puntos faltaban dos cosas: comentar el estadístico t del modelo logarítmico de forma explícita (lo mencionas sólo en el modelo en niveles) y el Durbin-Watson de 1.289, que indica autocorrelación positiva y por tanto errores estándar poco confiables. También convenía mencionar la endogeneidad: el precio que usas es ΣVALOR/ΣLITROS, así que cuando hay promoción el precio medio baja y el volumen sube por pura contabilidad, no necesariamente por respuesta del consumidor.</t>
  </si>
  <si>
    <t>Nota heurística sobre uso de LLM — Parte 1: 8/100 · Parte 2: 12/100 (NO afecta la calificación)</t>
  </si>
  <si>
    <t>Muy baja, igual que en la revisión anterior. Erratas recurrentes que ningún texto generado produce ('explicatividad', 'se mentiene', 'ua seria de modelos', 'incoporada', 'prodcuto', 'podriá', 'con le objetivo'), razonamiento en primera persona con decisiones justificadas sobre la marcha, y argumentos propios anclados en sus propios resultados —la justificación del maxlags=1 por la frecuencia mensual de los datos es un razonamiento sustantivo, no una fórmula—. Redacción propia con alta confianza.</t>
  </si>
  <si>
    <t>Los criterios completos están en la hoja "Rúbrica". Si tienes dudas sobre tu calificación, acércate en horario de asesoría.</t>
  </si>
  <si>
    <t>Rúbrica de evaluación — Evidencia Bloque 1 (Partes 1 y 2)</t>
  </si>
  <si>
    <t>Statistics for AI · Calificación final = 60% Parte 1 + 40% Parte 2 · Entrega final: se recalificó únicamente la Parte 2</t>
  </si>
  <si>
    <t>PARTE 1 — Data wrangling, análisis descriptivo y modelo simple (100 puntos) · NO se recalificó</t>
  </si>
  <si>
    <t>Puntos</t>
  </si>
  <si>
    <t>Criterio de evaluación</t>
  </si>
  <si>
    <t>30</t>
  </si>
  <si>
    <t>Parte de 30. −10 si no detecta o trata mal los duplicados FABRICANTE–ID–AÑO–SEMANA (deben SUMARSE: 556 filas / 278 llaves en 5 SKUs). −10 si colapsa mal de semanal a mensual (debe usarse FECHAM, no el mes de FECHAW). −10 si promedia simple los precios en lugar de recalcular Σvalor/Σlitros. −2 a −5 por errores menores (no revisar nulos, no verificar ID↔PRODUCTO, no documentar decisiones, no comprobar que los totales se conservan).</t>
  </si>
  <si>
    <t>15</t>
  </si>
  <si>
    <t>Market share por año, identificación del top-80% en U12M (FAB1+FAB3+FAB5 = 86.65%), evolución de ventas y precios en el tiempo, descriptivos relevantes, y sobre todo la LECTURA ESCRITA de lo que muestran las tablas y gráficas. Gráficas sin interpretación valen la mitad. Se penaliza fuerte interpretar cifras que no aparecen en la salida del propio notebook.</t>
  </si>
  <si>
    <t>Análisis de correlación justificado (qué variables, en logs o niveles, a qué nivel de agregación y por qué), con matriz o gráfico e interpretación de los resultados. Correlacionar variables trivialmente redundantes (venta valor contra litros) sin discutirlo vale poco. Se premia correlacionar precio contra volumen, precios entre competidores o volúmenes entre productos, y notar la multicolinealidad entre precios.</t>
  </si>
  <si>
    <t>Modelo log-log ln(Litros) ~ ln(Precio) sobre el producto top correcto del fabricante asignado (el de mayor venta en los últimos 12 meses), usando SOLO el precio como explicativa. Descuentos por niveles sin logaritmos, semi-log sin justificar, producto top equivocado, o agregar el modelo al nivel de fabricante en vez de producto.</t>
  </si>
  <si>
    <t>25</t>
  </si>
  <si>
    <t>Peso mayor. Debe explicarse CON PALABRAS PROPIAS: (i) el coeficiente β₁ como elasticidad —cambio porcentual en la cantidad ante 1% de cambio en el precio— y si la demanda es elástica o inelástica; (ii) el estadístico t y el p-value: qué hipótesis se prueba y si se rechaza; (iii) el intervalo de confianza al 95%, sobre todo si contiene el cero; (iv) la R²; (v) idealmente por qué el resultado puede ser engañoso (variable omitida, tendencia, estacionalidad, endogeneidad, autocorrelación). Se penaliza con fuerza interpretar β₁ como pesos o cambio absoluto, afirmar que un coeficiente NO significativo demuestra que el precio sí afecta la demanda, confundir R² con significancia, invertir el signo, o una interpretación genérica que no usa los números propios. Interpretación ausente o de una línea: máximo 5.</t>
  </si>
  <si>
    <t>PARTE 2 — Diseño, modelo extendido e investigación (100 puntos) · Recalificada en esta entrega</t>
  </si>
  <si>
    <t>20</t>
  </si>
  <si>
    <t>Explicar (NO correr) cómo incorporar elasticidad cruzada con otros productos, estacionalidad y tendencia de crecimiento. Se evalúa que se escriba la ecuación completa y que se interprete cada término: β₁ como elasticidad propia manteniendo lo demás constante; γⱼ como elasticidad cruzada, con signo positivo compatible con sustitutos y negativo con complementarios; las dummies mensuales (11 y no 12, para evitar la trampa de la variable dummy) o una alternativa parsimoniosa; y la tendencia. Se premia discutir el riesgo de multicolinealidad entre precios y el costo en grados de libertad con solo 43 observaciones.</t>
  </si>
  <si>
    <t>Objetivo 1.5 — Modelo con estacionalidad y tendencia</t>
  </si>
  <si>
    <t>60</t>
  </si>
  <si>
    <t>Se califican por separado la ESPECIFICACIÓN (30) y la INTERPRETACIÓN (30). Especificación: ln(Litros) ~ ln(Precio) + tendencia + estacionalidad, estimado sobre la misma muestra que el modelo simple, con la estacionalidad correctamente parametrizada. Interpretación: leer β₁ como elasticidad y clasificar la demanda; responder las tres preguntas —si cambió la estimación, qué pasó con la significancia estadística, y por qué cambió y cuál estimación es mejor— usando los números propios; interpretar el coeficiente de tendencia y la estacionalidad; leer el intervalo de confianza; y distinguir R² de R² ajustado. Se premia diagnosticar la causa del cambio (sesgo por variable omitida) y notar que un coeficiente puede ganar magnitud pero perder precisión.</t>
  </si>
  <si>
    <t>Objetivo 1.6 — Investigación de modelos de pronóstico</t>
  </si>
  <si>
    <t>Criterio BINARIO: 20 si el alumno incluyó la investigación sobre cómo pronosticar precio y ventas del producto top a 24 meses considerando modelos de regresión, series de tiempo y machine learning / IA; 0 si no la incluyó. No se descuenta por profundidad.</t>
  </si>
  <si>
    <t>Penalización aplicable a la Parte 2 en la entrega final</t>
  </si>
  <si>
    <t>Penalización por el Excel de cambios (entrega final)</t>
  </si>
  <si>
    <t>−10</t>
  </si>
  <si>
    <t>En esta última entrega se pidió devolver el Excel de retroalimentación indicando qué se cambió a partir de la retroalimentación de la Parte 2. Si el alumno NO entregó Excel, o entregó el MISMO archivo de la ronda anterior sin documentar lo nuevo, se restan 10 puntos del total de la PARTE 2. No aplica a quienes no subieron trabajo nuevo: en ese caso la Parte 2 conserva íntegra su calificación anterior.</t>
  </si>
  <si>
    <t>Ponderación y criterio de recalificación</t>
  </si>
  <si>
    <t>Parte 1</t>
  </si>
  <si>
    <t>60%</t>
  </si>
  <si>
    <t>Calificación de la Parte 1 sobre 100, ya con la penalización del Excel aplicada.</t>
  </si>
  <si>
    <t>Parte 2</t>
  </si>
  <si>
    <t>40%</t>
  </si>
  <si>
    <t>Objetivo 1.4 (20) + Objetivo 1.5 (60) + Objetivo 1.6 (20) = 100.</t>
  </si>
  <si>
    <t>100</t>
  </si>
  <si>
    <t>Criterio de recalificación de la Parte 2</t>
  </si>
  <si>
    <t>—</t>
  </si>
  <si>
    <t>La Parte 1 y su retroalimentación se copian sin cambios de la revisión anterior. La Parte 2 se vuelve a calificar con la misma rúbrica partiendo de la calificación previa y subiéndola sólo donde hay mejora visible; nunca se baja el contenido. Quien volvió a subir exactamente el mismo archivo conserva su calificación anterior de la Parte 2.</t>
  </si>
  <si>
    <t>Referencia técnica y nota metodológica</t>
  </si>
  <si>
    <t>Valores de referencia</t>
  </si>
  <si>
    <t>Panel mensual correcto: 3,296 filas semanales → 3,018 llaves únicas (556 filas / 278 llaves duplicadas en 5 SKUs) → 710 filas producto-mes, 43 meses (ene-2022 a jul-2025), 26 SKUs. Top-80% U12M: FAB1+FAB3+FAB5 = 86.65%. Modelo simple log-log, 43 obs: FAB1 β=−0.35 (p=0.60, NO significativa, R²=0.007) · FAB2 β=−3.23 (p&lt;0.0001, R²=0.65) · FAB3 β=−1.77 (p=0.0001, R²=0.32). Modelo extendido con tendencia y dummies mensuales: FAB1 β=−3.91 (p=0.003, R²=0.47) · FAB2 β=−5.47 (p=0.0003, R²=0.74) · FAB3 β≈−3.99 con estacionalidad de Fourier (p=0.0003, R²=0.42). Productos top U12M: FAB1 "Leche Clasica Entera 1 L", FAB2 "Deslac Deslactosada 1 L", FAB3 "1L Ent Entera".</t>
  </si>
  <si>
    <t>Prob. LLM (Partes 1 y 2)</t>
  </si>
  <si>
    <t>0-100</t>
  </si>
  <si>
    <t>Estimación HEURÍSTICA sobre el TEXTO, no sobre el código, y calculada por separado para cada parte. Elevan la probabilidad: estructura simétrica impecable, viñetas en negritas uniformes, terminología perfecta desconectada de los números propios, ausencia total de erratas, afirmaciones que contradicen la salida impresa del propio notebook, y referencias a técnicas muy por encima del nivel del curso. La bajan: erratas, coloquialismos, razonamiento en voz propia, dudas explícitas y referencias a decisiones tomadas en secciones anteriores. Es un indicio para conversar en asesoría, NO una prueba, y NO afecta la calificación.</t>
  </si>
  <si>
    <t>CALIFICACIÓN FINAL = 50% × Parte 1 (81) + 50% × Parte 2 (95)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</si>
</sst>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4"/>
      <color rgb="FFFFFFFF"/>
      <name val="Calibri"/>
    </font>
    <font>
      <b/>
      <sz val="12"/>
      <name val="Calibri"/>
    </font>
    <font>
      <b/>
      <sz val="10"/>
      <name val="Calibri"/>
    </font>
    <font>
      <sz val="10"/>
      <name val="Calibri"/>
    </font>
    <font>
      <b/>
      <sz val="10"/>
      <color rgb="FF1F3864"/>
      <name val="Calibri"/>
    </font>
    <font>
      <b/>
      <sz val="10"/>
      <color rgb="FFFFFFFF"/>
      <name val="Calibri"/>
    </font>
    <font>
      <sz val="9"/>
      <color rgb="FF404040"/>
      <name val="Calibri"/>
    </font>
    <font>
      <b/>
      <sz val="10"/>
      <color rgb="FF1F7A1F"/>
      <name val="Calibri"/>
    </font>
    <font>
      <b/>
      <sz val="13"/>
      <name val="Calibri"/>
    </font>
    <font>
      <b/>
      <sz val="14"/>
      <name val="Calibri"/>
    </font>
    <font>
      <i/>
      <sz val="10"/>
      <color rgb="FF404040"/>
      <name val="Calibri"/>
    </font>
  </fonts>
  <fills count="9">
    <fill>
      <patternFill patternType="none"/>
    </fill>
    <fill>
      <patternFill patternType="gray125"/>
    </fill>
    <fill>
      <patternFill patternType="solid">
        <fgColor rgb="FF1F3864"/>
      </patternFill>
    </fill>
    <fill>
      <patternFill patternType="solid">
        <fgColor rgb="FFD9E2F3"/>
      </patternFill>
    </fill>
    <fill>
      <patternFill patternType="solid">
        <fgColor rgb="FF2F5597"/>
      </patternFill>
    </fill>
    <fill>
      <patternFill patternType="solid">
        <fgColor rgb="FFE2EFDA"/>
      </patternFill>
    </fill>
    <fill>
      <patternFill patternType="solid">
        <fgColor rgb="FFFBE5D6"/>
      </patternFill>
    </fill>
    <fill>
      <patternFill patternType="solid">
        <fgColor rgb="FFFFF2CC"/>
      </patternFill>
    </fill>
    <fill>
      <patternFill patternType="solid">
        <fgColor rgb="FFFCE4E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3" fillId="0" borderId="0" xfId="0" applyFont="1"/>
    <xf numFmtId="0" fontId="4" fillId="0" borderId="0" xfId="0" applyFont="1" applyAlignment="1">
      <alignment vertical="top" wrapText="1"/>
    </xf>
    <xf numFmtId="0" fontId="6" fillId="4" borderId="0" xfId="0" applyFont="1" applyFill="1" applyAlignment="1">
      <alignment horizontal="center" vertical="center"/>
    </xf>
    <xf numFmtId="0" fontId="4" fillId="0" borderId="1" xfId="0" applyFont="1" applyBorder="1" applyAlignment="1">
      <alignment horizontal="center" vertical="center"/>
    </xf>
    <xf numFmtId="0" fontId="7" fillId="0" borderId="0" xfId="0" applyFont="1" applyAlignment="1">
      <alignment vertical="top" wrapText="1"/>
    </xf>
    <xf numFmtId="0" fontId="3" fillId="5" borderId="0" xfId="0" applyFont="1" applyFill="1" applyAlignment="1">
      <alignment horizontal="center" vertical="center"/>
    </xf>
    <xf numFmtId="0" fontId="7" fillId="0" borderId="0" xfId="0" applyFont="1"/>
    <xf numFmtId="0" fontId="8" fillId="0" borderId="1" xfId="0" applyFont="1" applyBorder="1" applyAlignment="1">
      <alignment horizontal="center" vertical="center"/>
    </xf>
    <xf numFmtId="0" fontId="3" fillId="3" borderId="0" xfId="0" applyFont="1" applyFill="1" applyAlignment="1">
      <alignment horizontal="center" vertical="center"/>
    </xf>
    <xf numFmtId="0" fontId="9" fillId="0" borderId="0" xfId="0" applyFont="1"/>
    <xf numFmtId="0" fontId="10" fillId="5" borderId="0" xfId="0" applyFont="1" applyFill="1" applyAlignment="1">
      <alignment horizontal="center" vertical="center"/>
    </xf>
    <xf numFmtId="0" fontId="0" fillId="0" borderId="0" xfId="0" applyAlignment="1">
      <alignment horizontal="center" vertical="center"/>
    </xf>
    <xf numFmtId="0" fontId="3" fillId="0" borderId="1" xfId="0" applyFont="1" applyBorder="1" applyAlignment="1">
      <alignment vertical="top" wrapText="1"/>
    </xf>
    <xf numFmtId="0" fontId="3" fillId="0" borderId="1" xfId="0" applyFont="1" applyBorder="1" applyAlignment="1">
      <alignment horizontal="center" vertical="center"/>
    </xf>
    <xf numFmtId="0" fontId="4" fillId="0" borderId="1" xfId="0" applyFont="1" applyBorder="1" applyAlignment="1">
      <alignment vertical="top" wrapText="1"/>
    </xf>
    <xf numFmtId="0" fontId="4" fillId="0" borderId="0" xfId="0" applyFont="1" applyAlignment="1">
      <alignment vertical="top" wrapText="1"/>
    </xf>
    <xf numFmtId="0" fontId="0" fillId="0" borderId="0" xfId="0"/>
    <xf numFmtId="0" fontId="3" fillId="7" borderId="0" xfId="0" applyFont="1" applyFill="1"/>
    <xf numFmtId="0" fontId="3" fillId="3" borderId="0" xfId="0" applyFont="1" applyFill="1"/>
    <xf numFmtId="0" fontId="2" fillId="0" borderId="0" xfId="0" applyFont="1"/>
    <xf numFmtId="0" fontId="3" fillId="5" borderId="0" xfId="0" applyFont="1" applyFill="1"/>
    <xf numFmtId="0" fontId="5" fillId="3" borderId="0" xfId="0" applyFont="1" applyFill="1" applyAlignment="1">
      <alignment vertical="top" wrapText="1"/>
    </xf>
    <xf numFmtId="0" fontId="11" fillId="0" borderId="0" xfId="0" applyFont="1"/>
    <xf numFmtId="0" fontId="3" fillId="6" borderId="0" xfId="0" applyFont="1" applyFill="1"/>
    <xf numFmtId="0" fontId="1" fillId="2" borderId="0" xfId="0" applyFont="1" applyFill="1" applyAlignment="1">
      <alignment horizontal="center" vertical="center"/>
    </xf>
    <xf numFmtId="0" fontId="3" fillId="8"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0"/>
  <sheetViews>
    <sheetView tabSelected="1" topLeftCell="A10" workbookViewId="0">
      <selection activeCell="B32" sqref="B32"/>
    </sheetView>
  </sheetViews>
  <sheetFormatPr defaultRowHeight="15" x14ac:dyDescent="0.25"/>
  <cols>
    <col min="1" max="1" width="40" customWidth="1"/>
    <col min="2" max="5" width="12" customWidth="1"/>
    <col min="6" max="6" width="82" customWidth="1"/>
  </cols>
  <sheetData>
    <row r="1" spans="1:6" ht="24" customHeight="1" x14ac:dyDescent="0.25">
      <c r="A1" s="25" t="s">
        <v>0</v>
      </c>
      <c r="B1" s="17"/>
      <c r="C1" s="17"/>
      <c r="D1" s="17"/>
      <c r="E1" s="17"/>
      <c r="F1" s="17"/>
    </row>
    <row r="2" spans="1:6" ht="15.75" x14ac:dyDescent="0.25">
      <c r="A2" s="20" t="s">
        <v>1</v>
      </c>
      <c r="B2" s="17"/>
      <c r="C2" s="17"/>
      <c r="D2" s="17"/>
      <c r="E2" s="17"/>
      <c r="F2" s="17"/>
    </row>
    <row r="3" spans="1:6" x14ac:dyDescent="0.25">
      <c r="A3" s="1" t="s">
        <v>2</v>
      </c>
      <c r="B3" s="16" t="s">
        <v>3</v>
      </c>
      <c r="C3" s="17"/>
      <c r="D3" s="17"/>
      <c r="E3" s="17"/>
      <c r="F3" s="17"/>
    </row>
    <row r="4" spans="1:6" x14ac:dyDescent="0.25">
      <c r="A4" s="1" t="s">
        <v>4</v>
      </c>
      <c r="B4" s="16" t="s">
        <v>5</v>
      </c>
      <c r="C4" s="17"/>
      <c r="D4" s="17"/>
      <c r="E4" s="17"/>
      <c r="F4" s="17"/>
    </row>
    <row r="5" spans="1:6" x14ac:dyDescent="0.25">
      <c r="A5" s="1" t="s">
        <v>6</v>
      </c>
      <c r="B5" s="16" t="s">
        <v>7</v>
      </c>
      <c r="C5" s="17"/>
      <c r="D5" s="17"/>
      <c r="E5" s="17"/>
      <c r="F5" s="17"/>
    </row>
    <row r="6" spans="1:6" x14ac:dyDescent="0.25">
      <c r="A6" s="1" t="s">
        <v>8</v>
      </c>
      <c r="B6" s="16" t="s">
        <v>9</v>
      </c>
      <c r="C6" s="17"/>
      <c r="D6" s="17"/>
      <c r="E6" s="17"/>
      <c r="F6" s="17"/>
    </row>
    <row r="7" spans="1:6" x14ac:dyDescent="0.25">
      <c r="A7" s="1" t="s">
        <v>10</v>
      </c>
      <c r="B7" s="16" t="s">
        <v>9</v>
      </c>
      <c r="C7" s="17"/>
      <c r="D7" s="17"/>
      <c r="E7" s="17"/>
      <c r="F7" s="17"/>
    </row>
    <row r="8" spans="1:6" x14ac:dyDescent="0.25">
      <c r="A8" s="1" t="s">
        <v>11</v>
      </c>
      <c r="B8" s="16" t="s">
        <v>12</v>
      </c>
      <c r="C8" s="17"/>
      <c r="D8" s="17"/>
      <c r="E8" s="17"/>
      <c r="F8" s="17"/>
    </row>
    <row r="10" spans="1:6" ht="44.1" customHeight="1" x14ac:dyDescent="0.25">
      <c r="A10" s="22" t="s">
        <v>13</v>
      </c>
      <c r="B10" s="17"/>
      <c r="C10" s="17"/>
      <c r="D10" s="17"/>
      <c r="E10" s="17"/>
      <c r="F10" s="17"/>
    </row>
    <row r="12" spans="1:6" x14ac:dyDescent="0.25">
      <c r="A12" s="19" t="s">
        <v>14</v>
      </c>
      <c r="B12" s="17"/>
      <c r="C12" s="17"/>
      <c r="D12" s="17"/>
      <c r="E12" s="17"/>
      <c r="F12" s="17"/>
    </row>
    <row r="13" spans="1:6" x14ac:dyDescent="0.25">
      <c r="A13" s="3" t="s">
        <v>15</v>
      </c>
      <c r="B13" s="3" t="s">
        <v>16</v>
      </c>
      <c r="C13" s="3" t="s">
        <v>17</v>
      </c>
      <c r="D13" s="3" t="s">
        <v>18</v>
      </c>
      <c r="E13" s="3" t="s">
        <v>19</v>
      </c>
      <c r="F13" s="3" t="s">
        <v>20</v>
      </c>
    </row>
    <row r="14" spans="1:6" ht="26.1" customHeight="1" x14ac:dyDescent="0.25">
      <c r="A14" s="2" t="s">
        <v>21</v>
      </c>
      <c r="B14" s="4">
        <v>27</v>
      </c>
      <c r="C14" s="4">
        <v>30</v>
      </c>
      <c r="D14" s="4">
        <v>23</v>
      </c>
      <c r="E14" s="4">
        <v>26.1</v>
      </c>
      <c r="F14" s="5" t="s">
        <v>22</v>
      </c>
    </row>
    <row r="15" spans="1:6" ht="26.1" customHeight="1" x14ac:dyDescent="0.25">
      <c r="A15" s="2" t="s">
        <v>23</v>
      </c>
      <c r="B15" s="4">
        <v>11</v>
      </c>
      <c r="C15" s="4">
        <v>15</v>
      </c>
      <c r="D15" s="4">
        <v>7</v>
      </c>
      <c r="E15" s="4">
        <v>13.2</v>
      </c>
      <c r="F15" s="5" t="s">
        <v>24</v>
      </c>
    </row>
    <row r="16" spans="1:6" ht="26.1" customHeight="1" x14ac:dyDescent="0.25">
      <c r="A16" s="2" t="s">
        <v>25</v>
      </c>
      <c r="B16" s="4">
        <v>8</v>
      </c>
      <c r="C16" s="4">
        <v>15</v>
      </c>
      <c r="D16" s="4">
        <v>2</v>
      </c>
      <c r="E16" s="4">
        <v>11.5</v>
      </c>
      <c r="F16" s="5" t="s">
        <v>26</v>
      </c>
    </row>
    <row r="17" spans="1:6" ht="26.1" customHeight="1" x14ac:dyDescent="0.25">
      <c r="A17" s="2" t="s">
        <v>27</v>
      </c>
      <c r="B17" s="4">
        <v>15</v>
      </c>
      <c r="C17" s="4">
        <v>15</v>
      </c>
      <c r="D17" s="4">
        <v>15</v>
      </c>
      <c r="E17" s="4">
        <v>14.3</v>
      </c>
      <c r="F17" s="5" t="s">
        <v>28</v>
      </c>
    </row>
    <row r="18" spans="1:6" ht="26.1" customHeight="1" x14ac:dyDescent="0.25">
      <c r="A18" s="2" t="s">
        <v>29</v>
      </c>
      <c r="B18" s="4">
        <v>20</v>
      </c>
      <c r="C18" s="4">
        <v>25</v>
      </c>
      <c r="D18" s="4">
        <v>3</v>
      </c>
      <c r="E18" s="4">
        <v>19.8</v>
      </c>
      <c r="F18" s="5" t="s">
        <v>30</v>
      </c>
    </row>
    <row r="19" spans="1:6" x14ac:dyDescent="0.25">
      <c r="A19" s="1" t="s">
        <v>31</v>
      </c>
      <c r="B19" s="6">
        <v>81</v>
      </c>
      <c r="C19" s="6">
        <v>100</v>
      </c>
      <c r="E19" s="6">
        <v>82.4</v>
      </c>
      <c r="F19" s="7" t="s">
        <v>32</v>
      </c>
    </row>
    <row r="21" spans="1:6" x14ac:dyDescent="0.25">
      <c r="A21" s="19" t="s">
        <v>33</v>
      </c>
      <c r="B21" s="17"/>
      <c r="C21" s="17"/>
      <c r="D21" s="17"/>
      <c r="E21" s="17"/>
      <c r="F21" s="17"/>
    </row>
    <row r="22" spans="1:6" x14ac:dyDescent="0.25">
      <c r="A22" s="3" t="s">
        <v>15</v>
      </c>
      <c r="B22" s="3" t="s">
        <v>16</v>
      </c>
      <c r="C22" s="3" t="s">
        <v>17</v>
      </c>
      <c r="D22" s="3" t="s">
        <v>34</v>
      </c>
      <c r="E22" s="3" t="s">
        <v>19</v>
      </c>
      <c r="F22" s="3" t="s">
        <v>20</v>
      </c>
    </row>
    <row r="23" spans="1:6" ht="26.1" customHeight="1" x14ac:dyDescent="0.25">
      <c r="A23" s="2" t="s">
        <v>35</v>
      </c>
      <c r="B23" s="8">
        <v>16</v>
      </c>
      <c r="C23" s="4">
        <v>20</v>
      </c>
      <c r="D23" s="4">
        <v>10</v>
      </c>
      <c r="E23" s="4">
        <v>16.8</v>
      </c>
      <c r="F23" s="5" t="s">
        <v>36</v>
      </c>
    </row>
    <row r="24" spans="1:6" ht="26.1" customHeight="1" x14ac:dyDescent="0.25">
      <c r="A24" s="2" t="s">
        <v>37</v>
      </c>
      <c r="B24" s="8">
        <v>30</v>
      </c>
      <c r="C24" s="4">
        <v>30</v>
      </c>
      <c r="D24" s="4">
        <v>27</v>
      </c>
      <c r="E24" s="4">
        <v>27.4</v>
      </c>
      <c r="F24" s="5" t="s">
        <v>38</v>
      </c>
    </row>
    <row r="25" spans="1:6" ht="26.1" customHeight="1" x14ac:dyDescent="0.25">
      <c r="A25" s="2" t="s">
        <v>39</v>
      </c>
      <c r="B25" s="8">
        <v>29</v>
      </c>
      <c r="C25" s="4">
        <v>30</v>
      </c>
      <c r="D25" s="4">
        <v>23</v>
      </c>
      <c r="E25" s="4">
        <v>25.8</v>
      </c>
      <c r="F25" s="5" t="s">
        <v>40</v>
      </c>
    </row>
    <row r="26" spans="1:6" ht="26.1" customHeight="1" x14ac:dyDescent="0.25">
      <c r="A26" s="2" t="s">
        <v>41</v>
      </c>
      <c r="B26" s="4">
        <v>20</v>
      </c>
      <c r="C26" s="4">
        <v>20</v>
      </c>
      <c r="D26" s="4">
        <v>20</v>
      </c>
      <c r="E26" s="4">
        <v>20</v>
      </c>
      <c r="F26" s="5" t="s">
        <v>42</v>
      </c>
    </row>
    <row r="27" spans="1:6" x14ac:dyDescent="0.25">
      <c r="A27" s="1" t="s">
        <v>43</v>
      </c>
      <c r="B27" s="9">
        <v>95</v>
      </c>
      <c r="C27" s="9">
        <v>100</v>
      </c>
      <c r="D27" s="9">
        <v>80</v>
      </c>
    </row>
    <row r="28" spans="1:6" x14ac:dyDescent="0.25">
      <c r="A28" s="1" t="s">
        <v>44</v>
      </c>
      <c r="B28" s="6">
        <v>95</v>
      </c>
      <c r="C28" s="6">
        <v>100</v>
      </c>
      <c r="D28" s="6">
        <v>80</v>
      </c>
      <c r="E28" s="6">
        <v>88.5</v>
      </c>
      <c r="F28" s="7" t="s">
        <v>45</v>
      </c>
    </row>
    <row r="30" spans="1:6" x14ac:dyDescent="0.25">
      <c r="A30" s="19" t="s">
        <v>109</v>
      </c>
      <c r="B30" s="17"/>
      <c r="C30" s="17"/>
      <c r="D30" s="17"/>
      <c r="E30" s="17"/>
      <c r="F30" s="17"/>
    </row>
    <row r="31" spans="1:6" ht="24" customHeight="1" x14ac:dyDescent="0.3">
      <c r="A31" s="10" t="s">
        <v>46</v>
      </c>
      <c r="B31" s="11">
        <f>ROUND(AVERAGE(B28,B19),0)</f>
        <v>88</v>
      </c>
      <c r="C31" s="12">
        <v>100</v>
      </c>
      <c r="D31" s="12">
        <v>80.599999999999994</v>
      </c>
      <c r="E31" s="12">
        <v>84.9</v>
      </c>
      <c r="F31" s="5" t="s">
        <v>47</v>
      </c>
    </row>
    <row r="33" spans="1:6" x14ac:dyDescent="0.25">
      <c r="A33" s="21" t="s">
        <v>48</v>
      </c>
      <c r="B33" s="17"/>
      <c r="C33" s="17"/>
      <c r="D33" s="17"/>
      <c r="E33" s="17"/>
      <c r="F33" s="17"/>
    </row>
    <row r="34" spans="1:6" ht="71.25" customHeight="1" x14ac:dyDescent="0.25">
      <c r="A34" s="16" t="s">
        <v>49</v>
      </c>
      <c r="B34" s="17"/>
      <c r="C34" s="17"/>
      <c r="D34" s="17"/>
      <c r="E34" s="17"/>
      <c r="F34" s="17"/>
    </row>
    <row r="36" spans="1:6" x14ac:dyDescent="0.25">
      <c r="A36" s="24" t="s">
        <v>50</v>
      </c>
      <c r="B36" s="17"/>
      <c r="C36" s="17"/>
      <c r="D36" s="17"/>
      <c r="E36" s="17"/>
      <c r="F36" s="17"/>
    </row>
    <row r="37" spans="1:6" ht="45" customHeight="1" x14ac:dyDescent="0.25">
      <c r="A37" s="16" t="s">
        <v>51</v>
      </c>
      <c r="B37" s="17"/>
      <c r="C37" s="17"/>
      <c r="D37" s="17"/>
      <c r="E37" s="17"/>
      <c r="F37" s="17"/>
    </row>
    <row r="39" spans="1:6" x14ac:dyDescent="0.25">
      <c r="A39" s="19" t="s">
        <v>52</v>
      </c>
      <c r="B39" s="17"/>
      <c r="C39" s="17"/>
      <c r="D39" s="17"/>
      <c r="E39" s="17"/>
      <c r="F39" s="17"/>
    </row>
    <row r="40" spans="1:6" ht="154.69999999999999" customHeight="1" x14ac:dyDescent="0.25">
      <c r="A40" s="16" t="s">
        <v>53</v>
      </c>
      <c r="B40" s="17"/>
      <c r="C40" s="17"/>
      <c r="D40" s="17"/>
      <c r="E40" s="17"/>
      <c r="F40" s="17"/>
    </row>
    <row r="42" spans="1:6" x14ac:dyDescent="0.25">
      <c r="A42" s="19" t="s">
        <v>54</v>
      </c>
      <c r="B42" s="17"/>
      <c r="C42" s="17"/>
      <c r="D42" s="17"/>
      <c r="E42" s="17"/>
      <c r="F42" s="17"/>
    </row>
    <row r="43" spans="1:6" ht="123.75" customHeight="1" x14ac:dyDescent="0.25">
      <c r="A43" s="16" t="s">
        <v>55</v>
      </c>
      <c r="B43" s="17"/>
      <c r="C43" s="17"/>
      <c r="D43" s="17"/>
      <c r="E43" s="17"/>
      <c r="F43" s="17"/>
    </row>
    <row r="45" spans="1:6" x14ac:dyDescent="0.25">
      <c r="A45" s="19" t="s">
        <v>56</v>
      </c>
      <c r="B45" s="17"/>
      <c r="C45" s="17"/>
      <c r="D45" s="17"/>
      <c r="E45" s="17"/>
      <c r="F45" s="17"/>
    </row>
    <row r="46" spans="1:6" ht="167.1" customHeight="1" x14ac:dyDescent="0.25">
      <c r="A46" s="16" t="s">
        <v>57</v>
      </c>
      <c r="B46" s="17"/>
      <c r="C46" s="17"/>
      <c r="D46" s="17"/>
      <c r="E46" s="17"/>
      <c r="F46" s="17"/>
    </row>
    <row r="48" spans="1:6" x14ac:dyDescent="0.25">
      <c r="A48" s="19" t="s">
        <v>58</v>
      </c>
      <c r="B48" s="17"/>
      <c r="C48" s="17"/>
      <c r="D48" s="17"/>
      <c r="E48" s="17"/>
      <c r="F48" s="17"/>
    </row>
    <row r="49" spans="1:6" ht="130.15" customHeight="1" x14ac:dyDescent="0.25">
      <c r="A49" s="16" t="s">
        <v>59</v>
      </c>
      <c r="B49" s="17"/>
      <c r="C49" s="17"/>
      <c r="D49" s="17"/>
      <c r="E49" s="17"/>
      <c r="F49" s="17"/>
    </row>
    <row r="51" spans="1:6" x14ac:dyDescent="0.25">
      <c r="A51" s="18" t="s">
        <v>60</v>
      </c>
      <c r="B51" s="17"/>
      <c r="C51" s="17"/>
      <c r="D51" s="17"/>
      <c r="E51" s="17"/>
      <c r="F51" s="17"/>
    </row>
    <row r="52" spans="1:6" ht="204.4" customHeight="1" x14ac:dyDescent="0.25">
      <c r="A52" s="16" t="s">
        <v>61</v>
      </c>
      <c r="B52" s="17"/>
      <c r="C52" s="17"/>
      <c r="D52" s="17"/>
      <c r="E52" s="17"/>
      <c r="F52" s="17"/>
    </row>
    <row r="54" spans="1:6" x14ac:dyDescent="0.25">
      <c r="A54" s="18" t="s">
        <v>62</v>
      </c>
      <c r="B54" s="17"/>
      <c r="C54" s="17"/>
      <c r="D54" s="17"/>
      <c r="E54" s="17"/>
      <c r="F54" s="17"/>
    </row>
    <row r="55" spans="1:6" ht="126.6" customHeight="1" x14ac:dyDescent="0.25">
      <c r="A55" s="16" t="s">
        <v>63</v>
      </c>
      <c r="B55" s="17"/>
      <c r="C55" s="17"/>
      <c r="D55" s="17"/>
      <c r="E55" s="17"/>
      <c r="F55" s="17"/>
    </row>
    <row r="57" spans="1:6" x14ac:dyDescent="0.25">
      <c r="A57" s="18" t="s">
        <v>64</v>
      </c>
      <c r="B57" s="17"/>
      <c r="C57" s="17"/>
      <c r="D57" s="17"/>
      <c r="E57" s="17"/>
      <c r="F57" s="17"/>
    </row>
    <row r="58" spans="1:6" ht="54.95" customHeight="1" x14ac:dyDescent="0.25">
      <c r="A58" s="16" t="s">
        <v>65</v>
      </c>
      <c r="B58" s="17"/>
      <c r="C58" s="17"/>
      <c r="D58" s="17"/>
      <c r="E58" s="17"/>
      <c r="F58" s="17"/>
    </row>
    <row r="60" spans="1:6" x14ac:dyDescent="0.25">
      <c r="A60" s="23" t="s">
        <v>66</v>
      </c>
      <c r="B60" s="17"/>
      <c r="C60" s="17"/>
      <c r="D60" s="17"/>
      <c r="E60" s="17"/>
      <c r="F60" s="17"/>
    </row>
  </sheetData>
  <mergeCells count="31">
    <mergeCell ref="A60:F60"/>
    <mergeCell ref="A36:F36"/>
    <mergeCell ref="A1:F1"/>
    <mergeCell ref="A45:F45"/>
    <mergeCell ref="B5:F5"/>
    <mergeCell ref="A58:F58"/>
    <mergeCell ref="A34:F34"/>
    <mergeCell ref="A40:F40"/>
    <mergeCell ref="A48:F48"/>
    <mergeCell ref="A30:F30"/>
    <mergeCell ref="A39:F39"/>
    <mergeCell ref="A49:F49"/>
    <mergeCell ref="A51:F51"/>
    <mergeCell ref="A2:F2"/>
    <mergeCell ref="A33:F33"/>
    <mergeCell ref="A42:F42"/>
    <mergeCell ref="B8:F8"/>
    <mergeCell ref="A43:F43"/>
    <mergeCell ref="A10:F10"/>
    <mergeCell ref="B6:F6"/>
    <mergeCell ref="B3:F3"/>
    <mergeCell ref="A12:F12"/>
    <mergeCell ref="A21:F21"/>
    <mergeCell ref="A55:F55"/>
    <mergeCell ref="A57:F57"/>
    <mergeCell ref="A52:F52"/>
    <mergeCell ref="B4:F4"/>
    <mergeCell ref="A54:F54"/>
    <mergeCell ref="B7:F7"/>
    <mergeCell ref="A46:F46"/>
    <mergeCell ref="A37:F3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2"/>
  <sheetViews>
    <sheetView workbookViewId="0"/>
  </sheetViews>
  <sheetFormatPr defaultRowHeight="15" x14ac:dyDescent="0.25"/>
  <cols>
    <col min="1" max="1" width="42" customWidth="1"/>
    <col min="2" max="2" width="10" customWidth="1"/>
    <col min="3" max="3" width="118" customWidth="1"/>
  </cols>
  <sheetData>
    <row r="1" spans="1:3" ht="24" customHeight="1" x14ac:dyDescent="0.25">
      <c r="A1" s="25" t="s">
        <v>67</v>
      </c>
      <c r="B1" s="17"/>
      <c r="C1" s="17"/>
    </row>
    <row r="2" spans="1:3" x14ac:dyDescent="0.25">
      <c r="A2" s="23" t="s">
        <v>68</v>
      </c>
      <c r="B2" s="17"/>
      <c r="C2" s="17"/>
    </row>
    <row r="4" spans="1:3" x14ac:dyDescent="0.25">
      <c r="A4" s="19" t="s">
        <v>69</v>
      </c>
      <c r="B4" s="17"/>
      <c r="C4" s="17"/>
    </row>
    <row r="5" spans="1:3" x14ac:dyDescent="0.25">
      <c r="A5" s="3" t="s">
        <v>15</v>
      </c>
      <c r="B5" s="3" t="s">
        <v>70</v>
      </c>
      <c r="C5" s="3" t="s">
        <v>71</v>
      </c>
    </row>
    <row r="6" spans="1:3" ht="48" customHeight="1" x14ac:dyDescent="0.25">
      <c r="A6" s="13" t="s">
        <v>21</v>
      </c>
      <c r="B6" s="14" t="s">
        <v>72</v>
      </c>
      <c r="C6" s="15" t="s">
        <v>73</v>
      </c>
    </row>
    <row r="7" spans="1:3" ht="48" customHeight="1" x14ac:dyDescent="0.25">
      <c r="A7" s="13" t="s">
        <v>23</v>
      </c>
      <c r="B7" s="14" t="s">
        <v>74</v>
      </c>
      <c r="C7" s="15" t="s">
        <v>75</v>
      </c>
    </row>
    <row r="8" spans="1:3" ht="48" customHeight="1" x14ac:dyDescent="0.25">
      <c r="A8" s="13" t="s">
        <v>25</v>
      </c>
      <c r="B8" s="14" t="s">
        <v>74</v>
      </c>
      <c r="C8" s="15" t="s">
        <v>76</v>
      </c>
    </row>
    <row r="9" spans="1:3" ht="48" customHeight="1" x14ac:dyDescent="0.25">
      <c r="A9" s="13" t="s">
        <v>27</v>
      </c>
      <c r="B9" s="14" t="s">
        <v>74</v>
      </c>
      <c r="C9" s="15" t="s">
        <v>77</v>
      </c>
    </row>
    <row r="10" spans="1:3" ht="96" customHeight="1" x14ac:dyDescent="0.25">
      <c r="A10" s="13" t="s">
        <v>29</v>
      </c>
      <c r="B10" s="14" t="s">
        <v>78</v>
      </c>
      <c r="C10" s="15" t="s">
        <v>79</v>
      </c>
    </row>
    <row r="12" spans="1:3" x14ac:dyDescent="0.25">
      <c r="A12" s="19" t="s">
        <v>80</v>
      </c>
      <c r="B12" s="17"/>
      <c r="C12" s="17"/>
    </row>
    <row r="13" spans="1:3" x14ac:dyDescent="0.25">
      <c r="A13" s="3" t="s">
        <v>15</v>
      </c>
      <c r="B13" s="3" t="s">
        <v>70</v>
      </c>
      <c r="C13" s="3" t="s">
        <v>71</v>
      </c>
    </row>
    <row r="14" spans="1:3" ht="72" customHeight="1" x14ac:dyDescent="0.25">
      <c r="A14" s="13" t="s">
        <v>35</v>
      </c>
      <c r="B14" s="14" t="s">
        <v>81</v>
      </c>
      <c r="C14" s="15" t="s">
        <v>82</v>
      </c>
    </row>
    <row r="15" spans="1:3" ht="84" customHeight="1" x14ac:dyDescent="0.25">
      <c r="A15" s="13" t="s">
        <v>83</v>
      </c>
      <c r="B15" s="14" t="s">
        <v>84</v>
      </c>
      <c r="C15" s="15" t="s">
        <v>85</v>
      </c>
    </row>
    <row r="16" spans="1:3" ht="36" customHeight="1" x14ac:dyDescent="0.25">
      <c r="A16" s="13" t="s">
        <v>86</v>
      </c>
      <c r="B16" s="14" t="s">
        <v>81</v>
      </c>
      <c r="C16" s="15" t="s">
        <v>87</v>
      </c>
    </row>
    <row r="18" spans="1:3" x14ac:dyDescent="0.25">
      <c r="A18" s="26" t="s">
        <v>88</v>
      </c>
      <c r="B18" s="17"/>
      <c r="C18" s="17"/>
    </row>
    <row r="19" spans="1:3" x14ac:dyDescent="0.25">
      <c r="A19" s="3" t="s">
        <v>15</v>
      </c>
      <c r="B19" s="3" t="s">
        <v>70</v>
      </c>
      <c r="C19" s="3" t="s">
        <v>71</v>
      </c>
    </row>
    <row r="20" spans="1:3" ht="48" customHeight="1" x14ac:dyDescent="0.25">
      <c r="A20" s="13" t="s">
        <v>89</v>
      </c>
      <c r="B20" s="14" t="s">
        <v>90</v>
      </c>
      <c r="C20" s="15" t="s">
        <v>91</v>
      </c>
    </row>
    <row r="22" spans="1:3" x14ac:dyDescent="0.25">
      <c r="A22" s="21" t="s">
        <v>92</v>
      </c>
      <c r="B22" s="17"/>
      <c r="C22" s="17"/>
    </row>
    <row r="23" spans="1:3" x14ac:dyDescent="0.25">
      <c r="A23" s="3" t="s">
        <v>15</v>
      </c>
      <c r="B23" s="3" t="s">
        <v>70</v>
      </c>
      <c r="C23" s="3" t="s">
        <v>71</v>
      </c>
    </row>
    <row r="24" spans="1:3" ht="30" customHeight="1" x14ac:dyDescent="0.25">
      <c r="A24" s="13" t="s">
        <v>93</v>
      </c>
      <c r="B24" s="14" t="s">
        <v>94</v>
      </c>
      <c r="C24" s="15" t="s">
        <v>95</v>
      </c>
    </row>
    <row r="25" spans="1:3" ht="30" customHeight="1" x14ac:dyDescent="0.25">
      <c r="A25" s="13" t="s">
        <v>96</v>
      </c>
      <c r="B25" s="14" t="s">
        <v>97</v>
      </c>
      <c r="C25" s="15" t="s">
        <v>98</v>
      </c>
    </row>
    <row r="26" spans="1:3" ht="30" customHeight="1" x14ac:dyDescent="0.25">
      <c r="A26" s="13" t="s">
        <v>46</v>
      </c>
      <c r="B26" s="14" t="s">
        <v>99</v>
      </c>
      <c r="C26" s="15"/>
    </row>
    <row r="27" spans="1:3" ht="48" customHeight="1" x14ac:dyDescent="0.25">
      <c r="A27" s="13" t="s">
        <v>100</v>
      </c>
      <c r="B27" s="14" t="s">
        <v>101</v>
      </c>
      <c r="C27" s="15" t="s">
        <v>102</v>
      </c>
    </row>
    <row r="29" spans="1:3" x14ac:dyDescent="0.25">
      <c r="A29" s="18" t="s">
        <v>103</v>
      </c>
      <c r="B29" s="17"/>
      <c r="C29" s="17"/>
    </row>
    <row r="30" spans="1:3" x14ac:dyDescent="0.25">
      <c r="A30" s="3" t="s">
        <v>15</v>
      </c>
      <c r="B30" s="3" t="s">
        <v>70</v>
      </c>
      <c r="C30" s="3" t="s">
        <v>71</v>
      </c>
    </row>
    <row r="31" spans="1:3" ht="84" customHeight="1" x14ac:dyDescent="0.25">
      <c r="A31" s="13" t="s">
        <v>104</v>
      </c>
      <c r="B31" s="14" t="s">
        <v>101</v>
      </c>
      <c r="C31" s="15" t="s">
        <v>105</v>
      </c>
    </row>
    <row r="32" spans="1:3" ht="72" customHeight="1" x14ac:dyDescent="0.25">
      <c r="A32" s="13" t="s">
        <v>106</v>
      </c>
      <c r="B32" s="14" t="s">
        <v>107</v>
      </c>
      <c r="C32" s="15" t="s">
        <v>108</v>
      </c>
    </row>
  </sheetData>
  <mergeCells count="7">
    <mergeCell ref="A29:C29"/>
    <mergeCell ref="A1:C1"/>
    <mergeCell ref="A22:C22"/>
    <mergeCell ref="A18:C18"/>
    <mergeCell ref="A12:C12"/>
    <mergeCell ref="A4:C4"/>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Mi calificación final</vt:lpstr>
      <vt:lpstr>Rúbrica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Carlos Alberto Dorantes Dosamantes</cp:lastModifiedBy>
  <dcterms:created xsi:type="dcterms:W3CDTF">2026-09-14T13:52:48Z</dcterms:created>
  <dcterms:modified xsi:type="dcterms:W3CDTF">2026-09-14T15:13:49Z</dcterms:modified>
</cp:coreProperties>
</file>